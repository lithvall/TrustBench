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ilders" sheetId="1" state="visible" r:id="rId3"/>
    <sheet name="Phase 2 statu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<sst xmlns="http://schemas.openxmlformats.org/spreadsheetml/2006/main" count="81" uniqueCount="73">
  <si>
    <t xml:space="preserve">Name</t>
  </si>
  <si>
    <t xml:space="preserve">Handle</t>
  </si>
  <si>
    <t xml:space="preserve">Source channel</t>
  </si>
  <si>
    <t xml:space="preserve">Source link</t>
  </si>
  <si>
    <t xml:space="preserve">Template</t>
  </si>
  <si>
    <t xml:space="preserve">DM channel</t>
  </si>
  <si>
    <t xml:space="preserve">Date sent</t>
  </si>
  <si>
    <t xml:space="preserve">Reply received?</t>
  </si>
  <si>
    <t xml:space="preserve">Date of reply / call</t>
  </si>
  <si>
    <t xml:space="preserve">Conversation held?</t>
  </si>
  <si>
    <t xml:space="preserve">Pain named</t>
  </si>
  <si>
    <t xml:space="preserve">Would pay 1-3%?</t>
  </si>
  <si>
    <t xml:space="preserve">Use case</t>
  </si>
  <si>
    <t xml:space="preserve">Written interest?</t>
  </si>
  <si>
    <t xml:space="preserve">Notes</t>
  </si>
  <si>
    <t xml:space="preserve">Next step</t>
  </si>
  <si>
    <t xml:space="preserve">Alice Doe</t>
  </si>
  <si>
    <t xml:space="preserve">@alice_x402</t>
  </si>
  <si>
    <t xml:space="preserve">GitHub: coinbase/x402</t>
  </si>
  <si>
    <t xml:space="preserve">https://github.com/coinbase/x402/pull/123</t>
  </si>
  <si>
    <t xml:space="preserve">B</t>
  </si>
  <si>
    <t xml:space="preserve">X DM</t>
  </si>
  <si>
    <t xml:space="preserve">Found via PR #123 — works on facilitator infra</t>
  </si>
  <si>
    <t xml:space="preserve">Send template B today</t>
  </si>
  <si>
    <t xml:space="preserve">Bob Smith</t>
  </si>
  <si>
    <t xml:space="preserve">@bob_builds</t>
  </si>
  <si>
    <t xml:space="preserve">X search</t>
  </si>
  <si>
    <t xml:space="preserve">https://x.com/bob_builds/status/1700000000000000000</t>
  </si>
  <si>
    <t xml:space="preserve">A</t>
  </si>
  <si>
    <t xml:space="preserve">2026-04-29</t>
  </si>
  <si>
    <t xml:space="preserve">No</t>
  </si>
  <si>
    <t xml:space="preserve">Sent template A; tweet was a launch demo of an x402-paid search agent</t>
  </si>
  <si>
    <t xml:space="preserve">Wait 4 days, then one polite follow-up</t>
  </si>
  <si>
    <t xml:space="preserve">Carol Lee</t>
  </si>
  <si>
    <t xml:space="preserve">@carol_dev</t>
  </si>
  <si>
    <t xml:space="preserve">CDP Discord #x402</t>
  </si>
  <si>
    <t xml:space="preserve">https://discord.com/channels/.../...</t>
  </si>
  <si>
    <t xml:space="preserve">D</t>
  </si>
  <si>
    <t xml:space="preserve">Discord DM</t>
  </si>
  <si>
    <t xml:space="preserve">2026-04-28</t>
  </si>
  <si>
    <t xml:space="preserve">Yes</t>
  </si>
  <si>
    <t xml:space="preserve">Spend limits</t>
  </si>
  <si>
    <t xml:space="preserve">Wallet-aware shopping agent on Base; processes ~200 paid calls/day</t>
  </si>
  <si>
    <t xml:space="preserve">Said: 'spend limits is the part I'm scared of — would happily pay 1-2% to outsource the kill-switch + per-call price cap'</t>
  </si>
  <si>
    <t xml:space="preserve">Send Phase 3 design sketch when ready</t>
  </si>
  <si>
    <t xml:space="preserve">Phase 2 — outreach status</t>
  </si>
  <si>
    <t xml:space="preserve">Auto-updates from the Builders tab. Phase 2 is done when all three gates show OK.</t>
  </si>
  <si>
    <t xml:space="preserve">Counts</t>
  </si>
  <si>
    <t xml:space="preserve">Builders contacted</t>
  </si>
  <si>
    <t xml:space="preserve">Replies received</t>
  </si>
  <si>
    <t xml:space="preserve">Conversations held</t>
  </si>
  <si>
    <t xml:space="preserve">Written "yes, I'd pay"</t>
  </si>
  <si>
    <t xml:space="preserve">Reply rate</t>
  </si>
  <si>
    <t xml:space="preserve">Conversation rate</t>
  </si>
  <si>
    <t xml:space="preserve">Phase 2 gates</t>
  </si>
  <si>
    <t xml:space="preserve">≥6 builders contacted</t>
  </si>
  <si>
    <t xml:space="preserve">≥3 conversations held</t>
  </si>
  <si>
    <t xml:space="preserve">≥1 written "yes I'd pay"</t>
  </si>
  <si>
    <t xml:space="preserve">Status</t>
  </si>
  <si>
    <t xml:space="preserve">Pain points named</t>
  </si>
  <si>
    <t xml:space="preserve">Most-named pain shapes Phase 3 build order.</t>
  </si>
  <si>
    <t xml:space="preserve">Discovery</t>
  </si>
  <si>
    <t xml:space="preserve">Signing</t>
  </si>
  <si>
    <t xml:space="preserve">Retries</t>
  </si>
  <si>
    <t xml:space="preserve">Accounting</t>
  </si>
  <si>
    <t xml:space="preserve">Other</t>
  </si>
  <si>
    <t xml:space="preserve">Most-named pain</t>
  </si>
  <si>
    <t xml:space="preserve">How to use this sheet</t>
  </si>
  <si>
    <t xml:space="preserve">1. Fill rows on the Builders tab as you contact people. Dropdowns for Yes/No, pain, etc.</t>
  </si>
  <si>
    <t xml:space="preserve">2. The counts and gates above auto-update.</t>
  </si>
  <si>
    <t xml:space="preserve">3. Phase 2 is done when all three gates show OK and Status reads 'PHASE 2 DONE'.</t>
  </si>
  <si>
    <t xml:space="preserve">4. The "Most-named pain" cell decides which Phase 3 sub-feature to ship after the router primitive (signing/retries/spend limits/accounting).</t>
  </si>
  <si>
    <t xml:space="preserve">5. Three example rows are pre-filled on the Builders tab so you can see the format. Delete them once you have real data.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</si>
</sst>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B45309"/>
      <name val="Arial"/>
      <family val="0"/>
      <charset val="1"/>
    </font>
    <font>
      <sz val="10"/>
      <color rgb="FF37415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9FA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B45309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10" min="9" style="0" width="18"/>
    <col collapsed="false" customWidth="true" hidden="false" outlineLevel="0" max="12" min="11" style="0" width="16"/>
    <col collapsed="false" customWidth="true" hidden="false" outlineLevel="0" max="13" min="13" style="0" width="30"/>
    <col collapsed="false" customWidth="true" hidden="false" outlineLevel="0" max="14" min="14" style="0" width="18"/>
    <col collapsed="false" customWidth="true" hidden="false" outlineLevel="0" max="15" min="15" style="0" width="40"/>
    <col collapsed="false" customWidth="true" hidden="false" outlineLevel="0" max="16" min="16" style="0" width="2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49.5" hidden="false" customHeight="tru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3"/>
      <c r="H2" s="2"/>
      <c r="I2" s="3"/>
      <c r="J2" s="2"/>
      <c r="K2" s="2"/>
      <c r="L2" s="2"/>
      <c r="M2" s="2"/>
      <c r="N2" s="2"/>
      <c r="O2" s="2" t="s">
        <v>22</v>
      </c>
      <c r="P2" s="2" t="s">
        <v>23</v>
      </c>
    </row>
    <row r="3" customFormat="false" ht="49.5" hidden="false" customHeight="true" outlineLevel="0" collapsed="false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21</v>
      </c>
      <c r="G3" s="5" t="s">
        <v>29</v>
      </c>
      <c r="H3" s="4" t="s">
        <v>30</v>
      </c>
      <c r="I3" s="5"/>
      <c r="J3" s="4" t="s">
        <v>30</v>
      </c>
      <c r="K3" s="4"/>
      <c r="L3" s="4"/>
      <c r="M3" s="4"/>
      <c r="N3" s="4" t="s">
        <v>30</v>
      </c>
      <c r="O3" s="4" t="s">
        <v>31</v>
      </c>
      <c r="P3" s="4" t="s">
        <v>32</v>
      </c>
    </row>
    <row r="4" customFormat="false" ht="49.5" hidden="false" customHeight="true" outlineLevel="0" collapsed="false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3" t="s">
        <v>39</v>
      </c>
      <c r="H4" s="2" t="s">
        <v>40</v>
      </c>
      <c r="I4" s="3" t="s">
        <v>29</v>
      </c>
      <c r="J4" s="2" t="s">
        <v>40</v>
      </c>
      <c r="K4" s="2" t="s">
        <v>41</v>
      </c>
      <c r="L4" s="2" t="s">
        <v>40</v>
      </c>
      <c r="M4" s="2" t="s">
        <v>42</v>
      </c>
      <c r="N4" s="2" t="s">
        <v>40</v>
      </c>
      <c r="O4" s="2" t="s">
        <v>43</v>
      </c>
      <c r="P4" s="2" t="s">
        <v>44</v>
      </c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7"/>
      <c r="H5" s="6"/>
      <c r="I5" s="7"/>
      <c r="J5" s="6"/>
      <c r="K5" s="6"/>
      <c r="L5" s="6"/>
      <c r="M5" s="6"/>
      <c r="N5" s="6"/>
      <c r="O5" s="6"/>
      <c r="P5" s="6"/>
    </row>
    <row r="6" customFormat="false" ht="15" hidden="false" customHeight="false" outlineLevel="0" collapsed="false">
      <c r="G6" s="8"/>
      <c r="I6" s="8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7"/>
      <c r="H7" s="6"/>
      <c r="I7" s="7"/>
      <c r="J7" s="6"/>
      <c r="K7" s="6"/>
      <c r="L7" s="6"/>
      <c r="M7" s="6"/>
      <c r="N7" s="6"/>
      <c r="O7" s="6"/>
      <c r="P7" s="6"/>
    </row>
    <row r="8" customFormat="false" ht="15" hidden="false" customHeight="false" outlineLevel="0" collapsed="false">
      <c r="G8" s="8"/>
      <c r="I8" s="8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7"/>
      <c r="H9" s="6"/>
      <c r="I9" s="7"/>
      <c r="J9" s="6"/>
      <c r="K9" s="6"/>
      <c r="L9" s="6"/>
      <c r="M9" s="6"/>
      <c r="N9" s="6"/>
      <c r="O9" s="6"/>
      <c r="P9" s="6"/>
    </row>
    <row r="10" customFormat="false" ht="15" hidden="false" customHeight="false" outlineLevel="0" collapsed="false">
      <c r="G10" s="8"/>
      <c r="I10" s="8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7"/>
      <c r="H11" s="6"/>
      <c r="I11" s="7"/>
      <c r="J11" s="6"/>
      <c r="K11" s="6"/>
      <c r="L11" s="6"/>
      <c r="M11" s="6"/>
      <c r="N11" s="6"/>
      <c r="O11" s="6"/>
      <c r="P11" s="6"/>
    </row>
    <row r="12" customFormat="false" ht="15" hidden="false" customHeight="false" outlineLevel="0" collapsed="false">
      <c r="G12" s="8"/>
      <c r="I12" s="8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7"/>
      <c r="H13" s="6"/>
      <c r="I13" s="7"/>
      <c r="J13" s="6"/>
      <c r="K13" s="6"/>
      <c r="L13" s="6"/>
      <c r="M13" s="6"/>
      <c r="N13" s="6"/>
      <c r="O13" s="6"/>
      <c r="P13" s="6"/>
    </row>
    <row r="14" customFormat="false" ht="15" hidden="false" customHeight="false" outlineLevel="0" collapsed="false">
      <c r="G14" s="8"/>
      <c r="I14" s="8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7"/>
      <c r="H15" s="6"/>
      <c r="I15" s="7"/>
      <c r="J15" s="6"/>
      <c r="K15" s="6"/>
      <c r="L15" s="6"/>
      <c r="M15" s="6"/>
      <c r="N15" s="6"/>
      <c r="O15" s="6"/>
      <c r="P15" s="6"/>
    </row>
    <row r="16" customFormat="false" ht="15" hidden="false" customHeight="false" outlineLevel="0" collapsed="false">
      <c r="G16" s="8"/>
      <c r="I16" s="8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7"/>
      <c r="H17" s="6"/>
      <c r="I17" s="7"/>
      <c r="J17" s="6"/>
      <c r="K17" s="6"/>
      <c r="L17" s="6"/>
      <c r="M17" s="6"/>
      <c r="N17" s="6"/>
      <c r="O17" s="6"/>
      <c r="P17" s="6"/>
    </row>
    <row r="18" customFormat="false" ht="15" hidden="false" customHeight="false" outlineLevel="0" collapsed="false">
      <c r="G18" s="8"/>
      <c r="I18" s="8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7"/>
      <c r="H19" s="6"/>
      <c r="I19" s="7"/>
      <c r="J19" s="6"/>
      <c r="K19" s="6"/>
      <c r="L19" s="6"/>
      <c r="M19" s="6"/>
      <c r="N19" s="6"/>
      <c r="O19" s="6"/>
      <c r="P19" s="6"/>
    </row>
    <row r="20" customFormat="false" ht="15" hidden="false" customHeight="false" outlineLevel="0" collapsed="false">
      <c r="G20" s="8"/>
      <c r="I20" s="8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7"/>
      <c r="H21" s="6"/>
      <c r="I21" s="7"/>
      <c r="J21" s="6"/>
      <c r="K21" s="6"/>
      <c r="L21" s="6"/>
      <c r="M21" s="6"/>
      <c r="N21" s="6"/>
      <c r="O21" s="6"/>
      <c r="P21" s="6"/>
    </row>
    <row r="22" customFormat="false" ht="15" hidden="false" customHeight="false" outlineLevel="0" collapsed="false">
      <c r="G22" s="8"/>
      <c r="I22" s="8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7"/>
      <c r="H23" s="6"/>
      <c r="I23" s="7"/>
      <c r="J23" s="6"/>
      <c r="K23" s="6"/>
      <c r="L23" s="6"/>
      <c r="M23" s="6"/>
      <c r="N23" s="6"/>
      <c r="O23" s="6"/>
      <c r="P23" s="6"/>
    </row>
    <row r="24" customFormat="false" ht="15" hidden="false" customHeight="false" outlineLevel="0" collapsed="false">
      <c r="G24" s="8"/>
      <c r="I24" s="8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7"/>
      <c r="H25" s="6"/>
      <c r="I25" s="7"/>
      <c r="J25" s="6"/>
      <c r="K25" s="6"/>
      <c r="L25" s="6"/>
      <c r="M25" s="6"/>
      <c r="N25" s="6"/>
      <c r="O25" s="6"/>
      <c r="P25" s="6"/>
    </row>
    <row r="26" customFormat="false" ht="15" hidden="false" customHeight="false" outlineLevel="0" collapsed="false">
      <c r="G26" s="8"/>
      <c r="I26" s="8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7"/>
      <c r="H27" s="6"/>
      <c r="I27" s="7"/>
      <c r="J27" s="6"/>
      <c r="K27" s="6"/>
      <c r="L27" s="6"/>
      <c r="M27" s="6"/>
      <c r="N27" s="6"/>
      <c r="O27" s="6"/>
      <c r="P27" s="6"/>
    </row>
    <row r="28" customFormat="false" ht="15" hidden="false" customHeight="false" outlineLevel="0" collapsed="false">
      <c r="G28" s="8"/>
      <c r="I28" s="8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7"/>
      <c r="H29" s="6"/>
      <c r="I29" s="7"/>
      <c r="J29" s="6"/>
      <c r="K29" s="6"/>
      <c r="L29" s="6"/>
      <c r="M29" s="6"/>
      <c r="N29" s="6"/>
      <c r="O29" s="6"/>
      <c r="P29" s="6"/>
    </row>
    <row r="30" customFormat="false" ht="15" hidden="false" customHeight="false" outlineLevel="0" collapsed="false">
      <c r="G30" s="8"/>
      <c r="I30" s="8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7"/>
      <c r="H31" s="6"/>
      <c r="I31" s="7"/>
      <c r="J31" s="6"/>
      <c r="K31" s="6"/>
      <c r="L31" s="6"/>
      <c r="M31" s="6"/>
      <c r="N31" s="6"/>
      <c r="O31" s="6"/>
      <c r="P31" s="6"/>
    </row>
    <row r="32" customFormat="false" ht="15" hidden="false" customHeight="false" outlineLevel="0" collapsed="false">
      <c r="G32" s="8"/>
      <c r="I32" s="8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7"/>
      <c r="H33" s="6"/>
      <c r="I33" s="7"/>
      <c r="J33" s="6"/>
      <c r="K33" s="6"/>
      <c r="L33" s="6"/>
      <c r="M33" s="6"/>
      <c r="N33" s="6"/>
      <c r="O33" s="6"/>
      <c r="P33" s="6"/>
    </row>
    <row r="34" customFormat="false" ht="15" hidden="false" customHeight="false" outlineLevel="0" collapsed="false">
      <c r="G34" s="8"/>
      <c r="I34" s="8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7"/>
      <c r="H35" s="6"/>
      <c r="I35" s="7"/>
      <c r="J35" s="6"/>
      <c r="K35" s="6"/>
      <c r="L35" s="6"/>
      <c r="M35" s="6"/>
      <c r="N35" s="6"/>
      <c r="O35" s="6"/>
      <c r="P35" s="6"/>
    </row>
    <row r="36" customFormat="false" ht="15" hidden="false" customHeight="false" outlineLevel="0" collapsed="false">
      <c r="G36" s="8"/>
      <c r="I36" s="8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7"/>
      <c r="H37" s="6"/>
      <c r="I37" s="7"/>
      <c r="J37" s="6"/>
      <c r="K37" s="6"/>
      <c r="L37" s="6"/>
      <c r="M37" s="6"/>
      <c r="N37" s="6"/>
      <c r="O37" s="6"/>
      <c r="P37" s="6"/>
    </row>
    <row r="38" customFormat="false" ht="15" hidden="false" customHeight="false" outlineLevel="0" collapsed="false">
      <c r="G38" s="8"/>
      <c r="I38" s="8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7"/>
      <c r="H39" s="6"/>
      <c r="I39" s="7"/>
      <c r="J39" s="6"/>
      <c r="K39" s="6"/>
      <c r="L39" s="6"/>
      <c r="M39" s="6"/>
      <c r="N39" s="6"/>
      <c r="O39" s="6"/>
      <c r="P39" s="6"/>
    </row>
    <row r="40" customFormat="false" ht="15" hidden="false" customHeight="false" outlineLevel="0" collapsed="false">
      <c r="G40" s="8"/>
      <c r="I40" s="8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7"/>
      <c r="H41" s="6"/>
      <c r="I41" s="7"/>
      <c r="J41" s="6"/>
      <c r="K41" s="6"/>
      <c r="L41" s="6"/>
      <c r="M41" s="6"/>
      <c r="N41" s="6"/>
      <c r="O41" s="6"/>
      <c r="P41" s="6"/>
    </row>
    <row r="42" customFormat="false" ht="15" hidden="false" customHeight="false" outlineLevel="0" collapsed="false">
      <c r="G42" s="8"/>
      <c r="I42" s="8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7"/>
      <c r="H43" s="6"/>
      <c r="I43" s="7"/>
      <c r="J43" s="6"/>
      <c r="K43" s="6"/>
      <c r="L43" s="6"/>
      <c r="M43" s="6"/>
      <c r="N43" s="6"/>
      <c r="O43" s="6"/>
      <c r="P43" s="6"/>
    </row>
    <row r="44" customFormat="false" ht="15" hidden="false" customHeight="false" outlineLevel="0" collapsed="false">
      <c r="G44" s="8"/>
      <c r="I44" s="8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7"/>
      <c r="H45" s="6"/>
      <c r="I45" s="7"/>
      <c r="J45" s="6"/>
      <c r="K45" s="6"/>
      <c r="L45" s="6"/>
      <c r="M45" s="6"/>
      <c r="N45" s="6"/>
      <c r="O45" s="6"/>
      <c r="P45" s="6"/>
    </row>
    <row r="46" customFormat="false" ht="15" hidden="false" customHeight="false" outlineLevel="0" collapsed="false">
      <c r="G46" s="8"/>
      <c r="I46" s="8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7"/>
      <c r="H47" s="6"/>
      <c r="I47" s="7"/>
      <c r="J47" s="6"/>
      <c r="K47" s="6"/>
      <c r="L47" s="6"/>
      <c r="M47" s="6"/>
      <c r="N47" s="6"/>
      <c r="O47" s="6"/>
      <c r="P47" s="6"/>
    </row>
    <row r="48" customFormat="false" ht="15" hidden="false" customHeight="false" outlineLevel="0" collapsed="false">
      <c r="G48" s="8"/>
      <c r="I48" s="8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7"/>
      <c r="H49" s="6"/>
      <c r="I49" s="7"/>
      <c r="J49" s="6"/>
      <c r="K49" s="6"/>
      <c r="L49" s="6"/>
      <c r="M49" s="6"/>
      <c r="N49" s="6"/>
      <c r="O49" s="6"/>
      <c r="P49" s="6"/>
    </row>
    <row r="50" customFormat="false" ht="15" hidden="false" customHeight="false" outlineLevel="0" collapsed="false">
      <c r="G50" s="8"/>
      <c r="I50" s="8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7"/>
      <c r="H51" s="6"/>
      <c r="I51" s="7"/>
      <c r="J51" s="6"/>
      <c r="K51" s="6"/>
      <c r="L51" s="6"/>
      <c r="M51" s="6"/>
      <c r="N51" s="6"/>
      <c r="O51" s="6"/>
      <c r="P51" s="6"/>
    </row>
    <row r="52" customFormat="false" ht="15" hidden="false" customHeight="false" outlineLevel="0" collapsed="false">
      <c r="G52" s="8"/>
      <c r="I52" s="8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7"/>
      <c r="H53" s="6"/>
      <c r="I53" s="7"/>
      <c r="J53" s="6"/>
      <c r="K53" s="6"/>
      <c r="L53" s="6"/>
      <c r="M53" s="6"/>
      <c r="N53" s="6"/>
      <c r="O53" s="6"/>
      <c r="P53" s="6"/>
    </row>
    <row r="54" customFormat="false" ht="15" hidden="false" customHeight="false" outlineLevel="0" collapsed="false">
      <c r="G54" s="8"/>
      <c r="I54" s="8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7"/>
      <c r="H55" s="6"/>
      <c r="I55" s="7"/>
      <c r="J55" s="6"/>
      <c r="K55" s="6"/>
      <c r="L55" s="6"/>
      <c r="M55" s="6"/>
      <c r="N55" s="6"/>
      <c r="O55" s="6"/>
      <c r="P55" s="6"/>
    </row>
    <row r="56" customFormat="false" ht="15" hidden="false" customHeight="false" outlineLevel="0" collapsed="false">
      <c r="G56" s="8"/>
      <c r="I56" s="8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7"/>
      <c r="H57" s="6"/>
      <c r="I57" s="7"/>
      <c r="J57" s="6"/>
      <c r="K57" s="6"/>
      <c r="L57" s="6"/>
      <c r="M57" s="6"/>
      <c r="N57" s="6"/>
      <c r="O57" s="6"/>
      <c r="P57" s="6"/>
    </row>
    <row r="58" customFormat="false" ht="15" hidden="false" customHeight="false" outlineLevel="0" collapsed="false">
      <c r="G58" s="8"/>
      <c r="I58" s="8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7"/>
      <c r="H59" s="6"/>
      <c r="I59" s="7"/>
      <c r="J59" s="6"/>
      <c r="K59" s="6"/>
      <c r="L59" s="6"/>
      <c r="M59" s="6"/>
      <c r="N59" s="6"/>
      <c r="O59" s="6"/>
      <c r="P59" s="6"/>
    </row>
    <row r="60" customFormat="false" ht="15" hidden="false" customHeight="false" outlineLevel="0" collapsed="false">
      <c r="G60" s="8"/>
      <c r="I60" s="8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7"/>
      <c r="H61" s="6"/>
      <c r="I61" s="7"/>
      <c r="J61" s="6"/>
      <c r="K61" s="6"/>
      <c r="L61" s="6"/>
      <c r="M61" s="6"/>
      <c r="N61" s="6"/>
      <c r="O61" s="6"/>
      <c r="P61" s="6"/>
    </row>
    <row r="62" customFormat="false" ht="15" hidden="false" customHeight="false" outlineLevel="0" collapsed="false">
      <c r="G62" s="8"/>
      <c r="I62" s="8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7"/>
      <c r="H63" s="6"/>
      <c r="I63" s="7"/>
      <c r="J63" s="6"/>
      <c r="K63" s="6"/>
      <c r="L63" s="6"/>
      <c r="M63" s="6"/>
      <c r="N63" s="6"/>
      <c r="O63" s="6"/>
      <c r="P63" s="6"/>
    </row>
    <row r="64" customFormat="false" ht="15" hidden="false" customHeight="false" outlineLevel="0" collapsed="false">
      <c r="G64" s="8"/>
      <c r="I64" s="8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7"/>
      <c r="H65" s="6"/>
      <c r="I65" s="7"/>
      <c r="J65" s="6"/>
      <c r="K65" s="6"/>
      <c r="L65" s="6"/>
      <c r="M65" s="6"/>
      <c r="N65" s="6"/>
      <c r="O65" s="6"/>
      <c r="P65" s="6"/>
    </row>
    <row r="66" customFormat="false" ht="15" hidden="false" customHeight="false" outlineLevel="0" collapsed="false">
      <c r="G66" s="8"/>
      <c r="I66" s="8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7"/>
      <c r="H67" s="6"/>
      <c r="I67" s="7"/>
      <c r="J67" s="6"/>
      <c r="K67" s="6"/>
      <c r="L67" s="6"/>
      <c r="M67" s="6"/>
      <c r="N67" s="6"/>
      <c r="O67" s="6"/>
      <c r="P67" s="6"/>
    </row>
    <row r="68" customFormat="false" ht="15" hidden="false" customHeight="false" outlineLevel="0" collapsed="false">
      <c r="G68" s="8"/>
      <c r="I68" s="8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7"/>
      <c r="H69" s="6"/>
      <c r="I69" s="7"/>
      <c r="J69" s="6"/>
      <c r="K69" s="6"/>
      <c r="L69" s="6"/>
      <c r="M69" s="6"/>
      <c r="N69" s="6"/>
      <c r="O69" s="6"/>
      <c r="P69" s="6"/>
    </row>
    <row r="70" customFormat="false" ht="15" hidden="false" customHeight="false" outlineLevel="0" collapsed="false">
      <c r="G70" s="8"/>
      <c r="I70" s="8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7"/>
      <c r="H71" s="6"/>
      <c r="I71" s="7"/>
      <c r="J71" s="6"/>
      <c r="K71" s="6"/>
      <c r="L71" s="6"/>
      <c r="M71" s="6"/>
      <c r="N71" s="6"/>
      <c r="O71" s="6"/>
      <c r="P71" s="6"/>
    </row>
    <row r="72" customFormat="false" ht="15" hidden="false" customHeight="false" outlineLevel="0" collapsed="false">
      <c r="G72" s="8"/>
      <c r="I72" s="8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7"/>
      <c r="H73" s="6"/>
      <c r="I73" s="7"/>
      <c r="J73" s="6"/>
      <c r="K73" s="6"/>
      <c r="L73" s="6"/>
      <c r="M73" s="6"/>
      <c r="N73" s="6"/>
      <c r="O73" s="6"/>
      <c r="P73" s="6"/>
    </row>
    <row r="74" customFormat="false" ht="15" hidden="false" customHeight="false" outlineLevel="0" collapsed="false">
      <c r="G74" s="8"/>
      <c r="I74" s="8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7"/>
      <c r="H75" s="6"/>
      <c r="I75" s="7"/>
      <c r="J75" s="6"/>
      <c r="K75" s="6"/>
      <c r="L75" s="6"/>
      <c r="M75" s="6"/>
      <c r="N75" s="6"/>
      <c r="O75" s="6"/>
      <c r="P75" s="6"/>
    </row>
    <row r="76" customFormat="false" ht="15" hidden="false" customHeight="false" outlineLevel="0" collapsed="false">
      <c r="G76" s="8"/>
      <c r="I76" s="8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7"/>
      <c r="H77" s="6"/>
      <c r="I77" s="7"/>
      <c r="J77" s="6"/>
      <c r="K77" s="6"/>
      <c r="L77" s="6"/>
      <c r="M77" s="6"/>
      <c r="N77" s="6"/>
      <c r="O77" s="6"/>
      <c r="P77" s="6"/>
    </row>
    <row r="78" customFormat="false" ht="15" hidden="false" customHeight="false" outlineLevel="0" collapsed="false">
      <c r="G78" s="8"/>
      <c r="I78" s="8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7"/>
      <c r="H79" s="6"/>
      <c r="I79" s="7"/>
      <c r="J79" s="6"/>
      <c r="K79" s="6"/>
      <c r="L79" s="6"/>
      <c r="M79" s="6"/>
      <c r="N79" s="6"/>
      <c r="O79" s="6"/>
      <c r="P79" s="6"/>
    </row>
    <row r="80" customFormat="false" ht="15" hidden="false" customHeight="false" outlineLevel="0" collapsed="false">
      <c r="G80" s="8"/>
      <c r="I80" s="8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7"/>
      <c r="H81" s="6"/>
      <c r="I81" s="7"/>
      <c r="J81" s="6"/>
      <c r="K81" s="6"/>
      <c r="L81" s="6"/>
      <c r="M81" s="6"/>
      <c r="N81" s="6"/>
      <c r="O81" s="6"/>
      <c r="P81" s="6"/>
    </row>
    <row r="82" customFormat="false" ht="15" hidden="false" customHeight="false" outlineLevel="0" collapsed="false">
      <c r="G82" s="8"/>
      <c r="I82" s="8"/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7"/>
      <c r="H83" s="6"/>
      <c r="I83" s="7"/>
      <c r="J83" s="6"/>
      <c r="K83" s="6"/>
      <c r="L83" s="6"/>
      <c r="M83" s="6"/>
      <c r="N83" s="6"/>
      <c r="O83" s="6"/>
      <c r="P83" s="6"/>
    </row>
    <row r="84" customFormat="false" ht="15" hidden="false" customHeight="false" outlineLevel="0" collapsed="false">
      <c r="G84" s="8"/>
      <c r="I84" s="8"/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7"/>
      <c r="H85" s="6"/>
      <c r="I85" s="7"/>
      <c r="J85" s="6"/>
      <c r="K85" s="6"/>
      <c r="L85" s="6"/>
      <c r="M85" s="6"/>
      <c r="N85" s="6"/>
      <c r="O85" s="6"/>
      <c r="P85" s="6"/>
    </row>
    <row r="86" customFormat="false" ht="15" hidden="false" customHeight="false" outlineLevel="0" collapsed="false">
      <c r="G86" s="8"/>
      <c r="I86" s="8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7"/>
      <c r="H87" s="6"/>
      <c r="I87" s="7"/>
      <c r="J87" s="6"/>
      <c r="K87" s="6"/>
      <c r="L87" s="6"/>
      <c r="M87" s="6"/>
      <c r="N87" s="6"/>
      <c r="O87" s="6"/>
      <c r="P87" s="6"/>
    </row>
    <row r="88" customFormat="false" ht="15" hidden="false" customHeight="false" outlineLevel="0" collapsed="false">
      <c r="G88" s="8"/>
      <c r="I88" s="8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7"/>
      <c r="H89" s="6"/>
      <c r="I89" s="7"/>
      <c r="J89" s="6"/>
      <c r="K89" s="6"/>
      <c r="L89" s="6"/>
      <c r="M89" s="6"/>
      <c r="N89" s="6"/>
      <c r="O89" s="6"/>
      <c r="P89" s="6"/>
    </row>
    <row r="90" customFormat="false" ht="15" hidden="false" customHeight="false" outlineLevel="0" collapsed="false">
      <c r="G90" s="8"/>
      <c r="I90" s="8"/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7"/>
      <c r="H91" s="6"/>
      <c r="I91" s="7"/>
      <c r="J91" s="6"/>
      <c r="K91" s="6"/>
      <c r="L91" s="6"/>
      <c r="M91" s="6"/>
      <c r="N91" s="6"/>
      <c r="O91" s="6"/>
      <c r="P91" s="6"/>
    </row>
    <row r="92" customFormat="false" ht="15" hidden="false" customHeight="false" outlineLevel="0" collapsed="false">
      <c r="G92" s="8"/>
      <c r="I92" s="8"/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7"/>
      <c r="H93" s="6"/>
      <c r="I93" s="7"/>
      <c r="J93" s="6"/>
      <c r="K93" s="6"/>
      <c r="L93" s="6"/>
      <c r="M93" s="6"/>
      <c r="N93" s="6"/>
      <c r="O93" s="6"/>
      <c r="P93" s="6"/>
    </row>
    <row r="94" customFormat="false" ht="15" hidden="false" customHeight="false" outlineLevel="0" collapsed="false">
      <c r="G94" s="8"/>
      <c r="I94" s="8"/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7"/>
      <c r="H95" s="6"/>
      <c r="I95" s="7"/>
      <c r="J95" s="6"/>
      <c r="K95" s="6"/>
      <c r="L95" s="6"/>
      <c r="M95" s="6"/>
      <c r="N95" s="6"/>
      <c r="O95" s="6"/>
      <c r="P95" s="6"/>
    </row>
    <row r="96" customFormat="false" ht="15" hidden="false" customHeight="false" outlineLevel="0" collapsed="false">
      <c r="G96" s="8"/>
      <c r="I96" s="8"/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7"/>
      <c r="H97" s="6"/>
      <c r="I97" s="7"/>
      <c r="J97" s="6"/>
      <c r="K97" s="6"/>
      <c r="L97" s="6"/>
      <c r="M97" s="6"/>
      <c r="N97" s="6"/>
      <c r="O97" s="6"/>
      <c r="P97" s="6"/>
    </row>
    <row r="98" customFormat="false" ht="15" hidden="false" customHeight="false" outlineLevel="0" collapsed="false">
      <c r="G98" s="8"/>
      <c r="I98" s="8"/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7"/>
      <c r="H99" s="6"/>
      <c r="I99" s="7"/>
      <c r="J99" s="6"/>
      <c r="K99" s="6"/>
      <c r="L99" s="6"/>
      <c r="M99" s="6"/>
      <c r="N99" s="6"/>
      <c r="O99" s="6"/>
      <c r="P99" s="6"/>
    </row>
    <row r="100" customFormat="false" ht="15" hidden="false" customHeight="false" outlineLevel="0" collapsed="false">
      <c r="G100" s="8"/>
      <c r="I100" s="8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7"/>
      <c r="H101" s="6"/>
      <c r="I101" s="7"/>
      <c r="J101" s="6"/>
      <c r="K101" s="6"/>
      <c r="L101" s="6"/>
      <c r="M101" s="6"/>
      <c r="N101" s="6"/>
      <c r="O101" s="6"/>
      <c r="P101" s="6"/>
    </row>
    <row r="102" customFormat="false" ht="15" hidden="false" customHeight="false" outlineLevel="0" collapsed="false">
      <c r="G102" s="8"/>
      <c r="I102" s="8"/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7"/>
      <c r="H103" s="6"/>
      <c r="I103" s="7"/>
      <c r="J103" s="6"/>
      <c r="K103" s="6"/>
      <c r="L103" s="6"/>
      <c r="M103" s="6"/>
      <c r="N103" s="6"/>
      <c r="O103" s="6"/>
      <c r="P103" s="6"/>
    </row>
    <row r="104" customFormat="false" ht="15" hidden="false" customHeight="false" outlineLevel="0" collapsed="false">
      <c r="G104" s="8"/>
      <c r="I104" s="8"/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7"/>
      <c r="H105" s="6"/>
      <c r="I105" s="7"/>
      <c r="J105" s="6"/>
      <c r="K105" s="6"/>
      <c r="L105" s="6"/>
      <c r="M105" s="6"/>
      <c r="N105" s="6"/>
      <c r="O105" s="6"/>
      <c r="P105" s="6"/>
    </row>
    <row r="106" customFormat="false" ht="15" hidden="false" customHeight="false" outlineLevel="0" collapsed="false">
      <c r="G106" s="8"/>
      <c r="I106" s="8"/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7"/>
      <c r="H107" s="6"/>
      <c r="I107" s="7"/>
      <c r="J107" s="6"/>
      <c r="K107" s="6"/>
      <c r="L107" s="6"/>
      <c r="M107" s="6"/>
      <c r="N107" s="6"/>
      <c r="O107" s="6"/>
      <c r="P107" s="6"/>
    </row>
    <row r="108" customFormat="false" ht="15" hidden="false" customHeight="false" outlineLevel="0" collapsed="false">
      <c r="G108" s="8"/>
      <c r="I108" s="8"/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7"/>
      <c r="H109" s="6"/>
      <c r="I109" s="7"/>
      <c r="J109" s="6"/>
      <c r="K109" s="6"/>
      <c r="L109" s="6"/>
      <c r="M109" s="6"/>
      <c r="N109" s="6"/>
      <c r="O109" s="6"/>
      <c r="P109" s="6"/>
    </row>
    <row r="110" customFormat="false" ht="15" hidden="false" customHeight="false" outlineLevel="0" collapsed="false">
      <c r="G110" s="8"/>
      <c r="I110" s="8"/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7"/>
      <c r="H111" s="6"/>
      <c r="I111" s="7"/>
      <c r="J111" s="6"/>
      <c r="K111" s="6"/>
      <c r="L111" s="6"/>
      <c r="M111" s="6"/>
      <c r="N111" s="6"/>
      <c r="O111" s="6"/>
      <c r="P111" s="6"/>
    </row>
    <row r="112" customFormat="false" ht="15" hidden="false" customHeight="false" outlineLevel="0" collapsed="false">
      <c r="G112" s="8"/>
      <c r="I112" s="8"/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7"/>
      <c r="H113" s="6"/>
      <c r="I113" s="7"/>
      <c r="J113" s="6"/>
      <c r="K113" s="6"/>
      <c r="L113" s="6"/>
      <c r="M113" s="6"/>
      <c r="N113" s="6"/>
      <c r="O113" s="6"/>
      <c r="P113" s="6"/>
    </row>
    <row r="114" customFormat="false" ht="15" hidden="false" customHeight="false" outlineLevel="0" collapsed="false">
      <c r="G114" s="8"/>
      <c r="I114" s="8"/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7"/>
      <c r="H115" s="6"/>
      <c r="I115" s="7"/>
      <c r="J115" s="6"/>
      <c r="K115" s="6"/>
      <c r="L115" s="6"/>
      <c r="M115" s="6"/>
      <c r="N115" s="6"/>
      <c r="O115" s="6"/>
      <c r="P115" s="6"/>
    </row>
    <row r="116" customFormat="false" ht="15" hidden="false" customHeight="false" outlineLevel="0" collapsed="false">
      <c r="G116" s="8"/>
      <c r="I116" s="8"/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7"/>
      <c r="H117" s="6"/>
      <c r="I117" s="7"/>
      <c r="J117" s="6"/>
      <c r="K117" s="6"/>
      <c r="L117" s="6"/>
      <c r="M117" s="6"/>
      <c r="N117" s="6"/>
      <c r="O117" s="6"/>
      <c r="P117" s="6"/>
    </row>
    <row r="118" customFormat="false" ht="15" hidden="false" customHeight="false" outlineLevel="0" collapsed="false">
      <c r="G118" s="8"/>
      <c r="I118" s="8"/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7"/>
      <c r="H119" s="6"/>
      <c r="I119" s="7"/>
      <c r="J119" s="6"/>
      <c r="K119" s="6"/>
      <c r="L119" s="6"/>
      <c r="M119" s="6"/>
      <c r="N119" s="6"/>
      <c r="O119" s="6"/>
      <c r="P119" s="6"/>
    </row>
    <row r="120" customFormat="false" ht="15" hidden="false" customHeight="false" outlineLevel="0" collapsed="false">
      <c r="G120" s="8"/>
      <c r="I120" s="8"/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7"/>
      <c r="H121" s="6"/>
      <c r="I121" s="7"/>
      <c r="J121" s="6"/>
      <c r="K121" s="6"/>
      <c r="L121" s="6"/>
      <c r="M121" s="6"/>
      <c r="N121" s="6"/>
      <c r="O121" s="6"/>
      <c r="P121" s="6"/>
    </row>
    <row r="122" customFormat="false" ht="15" hidden="false" customHeight="false" outlineLevel="0" collapsed="false">
      <c r="G122" s="8"/>
      <c r="I122" s="8"/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7"/>
      <c r="H123" s="6"/>
      <c r="I123" s="7"/>
      <c r="J123" s="6"/>
      <c r="K123" s="6"/>
      <c r="L123" s="6"/>
      <c r="M123" s="6"/>
      <c r="N123" s="6"/>
      <c r="O123" s="6"/>
      <c r="P123" s="6"/>
    </row>
    <row r="124" customFormat="false" ht="15" hidden="false" customHeight="false" outlineLevel="0" collapsed="false">
      <c r="G124" s="8"/>
      <c r="I124" s="8"/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7"/>
      <c r="H125" s="6"/>
      <c r="I125" s="7"/>
      <c r="J125" s="6"/>
      <c r="K125" s="6"/>
      <c r="L125" s="6"/>
      <c r="M125" s="6"/>
      <c r="N125" s="6"/>
      <c r="O125" s="6"/>
      <c r="P125" s="6"/>
    </row>
    <row r="126" customFormat="false" ht="15" hidden="false" customHeight="false" outlineLevel="0" collapsed="false">
      <c r="G126" s="8"/>
      <c r="I126" s="8"/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7"/>
      <c r="H127" s="6"/>
      <c r="I127" s="7"/>
      <c r="J127" s="6"/>
      <c r="K127" s="6"/>
      <c r="L127" s="6"/>
      <c r="M127" s="6"/>
      <c r="N127" s="6"/>
      <c r="O127" s="6"/>
      <c r="P127" s="6"/>
    </row>
    <row r="128" customFormat="false" ht="15" hidden="false" customHeight="false" outlineLevel="0" collapsed="false">
      <c r="G128" s="8"/>
      <c r="I128" s="8"/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7"/>
      <c r="H129" s="6"/>
      <c r="I129" s="7"/>
      <c r="J129" s="6"/>
      <c r="K129" s="6"/>
      <c r="L129" s="6"/>
      <c r="M129" s="6"/>
      <c r="N129" s="6"/>
      <c r="O129" s="6"/>
      <c r="P129" s="6"/>
    </row>
    <row r="130" customFormat="false" ht="15" hidden="false" customHeight="false" outlineLevel="0" collapsed="false">
      <c r="G130" s="8"/>
      <c r="I130" s="8"/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7"/>
      <c r="H131" s="6"/>
      <c r="I131" s="7"/>
      <c r="J131" s="6"/>
      <c r="K131" s="6"/>
      <c r="L131" s="6"/>
      <c r="M131" s="6"/>
      <c r="N131" s="6"/>
      <c r="O131" s="6"/>
      <c r="P131" s="6"/>
    </row>
    <row r="132" customFormat="false" ht="15" hidden="false" customHeight="false" outlineLevel="0" collapsed="false">
      <c r="G132" s="8"/>
      <c r="I132" s="8"/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7"/>
      <c r="H133" s="6"/>
      <c r="I133" s="7"/>
      <c r="J133" s="6"/>
      <c r="K133" s="6"/>
      <c r="L133" s="6"/>
      <c r="M133" s="6"/>
      <c r="N133" s="6"/>
      <c r="O133" s="6"/>
      <c r="P133" s="6"/>
    </row>
    <row r="134" customFormat="false" ht="15" hidden="false" customHeight="false" outlineLevel="0" collapsed="false">
      <c r="G134" s="8"/>
      <c r="I134" s="8"/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7"/>
      <c r="H135" s="6"/>
      <c r="I135" s="7"/>
      <c r="J135" s="6"/>
      <c r="K135" s="6"/>
      <c r="L135" s="6"/>
      <c r="M135" s="6"/>
      <c r="N135" s="6"/>
      <c r="O135" s="6"/>
      <c r="P135" s="6"/>
    </row>
    <row r="136" customFormat="false" ht="15" hidden="false" customHeight="false" outlineLevel="0" collapsed="false">
      <c r="G136" s="8"/>
      <c r="I136" s="8"/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7"/>
      <c r="H137" s="6"/>
      <c r="I137" s="7"/>
      <c r="J137" s="6"/>
      <c r="K137" s="6"/>
      <c r="L137" s="6"/>
      <c r="M137" s="6"/>
      <c r="N137" s="6"/>
      <c r="O137" s="6"/>
      <c r="P137" s="6"/>
    </row>
    <row r="138" customFormat="false" ht="15" hidden="false" customHeight="false" outlineLevel="0" collapsed="false">
      <c r="G138" s="8"/>
      <c r="I138" s="8"/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7"/>
      <c r="H139" s="6"/>
      <c r="I139" s="7"/>
      <c r="J139" s="6"/>
      <c r="K139" s="6"/>
      <c r="L139" s="6"/>
      <c r="M139" s="6"/>
      <c r="N139" s="6"/>
      <c r="O139" s="6"/>
      <c r="P139" s="6"/>
    </row>
    <row r="140" customFormat="false" ht="15" hidden="false" customHeight="false" outlineLevel="0" collapsed="false">
      <c r="G140" s="8"/>
      <c r="I140" s="8"/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7"/>
      <c r="H141" s="6"/>
      <c r="I141" s="7"/>
      <c r="J141" s="6"/>
      <c r="K141" s="6"/>
      <c r="L141" s="6"/>
      <c r="M141" s="6"/>
      <c r="N141" s="6"/>
      <c r="O141" s="6"/>
      <c r="P141" s="6"/>
    </row>
    <row r="142" customFormat="false" ht="15" hidden="false" customHeight="false" outlineLevel="0" collapsed="false">
      <c r="G142" s="8"/>
      <c r="I142" s="8"/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7"/>
      <c r="H143" s="6"/>
      <c r="I143" s="7"/>
      <c r="J143" s="6"/>
      <c r="K143" s="6"/>
      <c r="L143" s="6"/>
      <c r="M143" s="6"/>
      <c r="N143" s="6"/>
      <c r="O143" s="6"/>
      <c r="P143" s="6"/>
    </row>
    <row r="144" customFormat="false" ht="15" hidden="false" customHeight="false" outlineLevel="0" collapsed="false">
      <c r="G144" s="8"/>
      <c r="I144" s="8"/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7"/>
      <c r="H145" s="6"/>
      <c r="I145" s="7"/>
      <c r="J145" s="6"/>
      <c r="K145" s="6"/>
      <c r="L145" s="6"/>
      <c r="M145" s="6"/>
      <c r="N145" s="6"/>
      <c r="O145" s="6"/>
      <c r="P145" s="6"/>
    </row>
    <row r="146" customFormat="false" ht="15" hidden="false" customHeight="false" outlineLevel="0" collapsed="false">
      <c r="G146" s="8"/>
      <c r="I146" s="8"/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7"/>
      <c r="H147" s="6"/>
      <c r="I147" s="7"/>
      <c r="J147" s="6"/>
      <c r="K147" s="6"/>
      <c r="L147" s="6"/>
      <c r="M147" s="6"/>
      <c r="N147" s="6"/>
      <c r="O147" s="6"/>
      <c r="P147" s="6"/>
    </row>
    <row r="148" customFormat="false" ht="15" hidden="false" customHeight="false" outlineLevel="0" collapsed="false">
      <c r="G148" s="8"/>
      <c r="I148" s="8"/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7"/>
      <c r="H149" s="6"/>
      <c r="I149" s="7"/>
      <c r="J149" s="6"/>
      <c r="K149" s="6"/>
      <c r="L149" s="6"/>
      <c r="M149" s="6"/>
      <c r="N149" s="6"/>
      <c r="O149" s="6"/>
      <c r="P149" s="6"/>
    </row>
    <row r="150" customFormat="false" ht="15" hidden="false" customHeight="false" outlineLevel="0" collapsed="false">
      <c r="G150" s="8"/>
      <c r="I150" s="8"/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7"/>
      <c r="H151" s="6"/>
      <c r="I151" s="7"/>
      <c r="J151" s="6"/>
      <c r="K151" s="6"/>
      <c r="L151" s="6"/>
      <c r="M151" s="6"/>
      <c r="N151" s="6"/>
      <c r="O151" s="6"/>
      <c r="P151" s="6"/>
    </row>
    <row r="152" customFormat="false" ht="15" hidden="false" customHeight="false" outlineLevel="0" collapsed="false">
      <c r="G152" s="8"/>
      <c r="I152" s="8"/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7"/>
      <c r="H153" s="6"/>
      <c r="I153" s="7"/>
      <c r="J153" s="6"/>
      <c r="K153" s="6"/>
      <c r="L153" s="6"/>
      <c r="M153" s="6"/>
      <c r="N153" s="6"/>
      <c r="O153" s="6"/>
      <c r="P153" s="6"/>
    </row>
    <row r="154" customFormat="false" ht="15" hidden="false" customHeight="false" outlineLevel="0" collapsed="false">
      <c r="G154" s="8"/>
      <c r="I154" s="8"/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7"/>
      <c r="H155" s="6"/>
      <c r="I155" s="7"/>
      <c r="J155" s="6"/>
      <c r="K155" s="6"/>
      <c r="L155" s="6"/>
      <c r="M155" s="6"/>
      <c r="N155" s="6"/>
      <c r="O155" s="6"/>
      <c r="P155" s="6"/>
    </row>
    <row r="156" customFormat="false" ht="15" hidden="false" customHeight="false" outlineLevel="0" collapsed="false">
      <c r="G156" s="8"/>
      <c r="I156" s="8"/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7"/>
      <c r="H157" s="6"/>
      <c r="I157" s="7"/>
      <c r="J157" s="6"/>
      <c r="K157" s="6"/>
      <c r="L157" s="6"/>
      <c r="M157" s="6"/>
      <c r="N157" s="6"/>
      <c r="O157" s="6"/>
      <c r="P157" s="6"/>
    </row>
    <row r="158" customFormat="false" ht="15" hidden="false" customHeight="false" outlineLevel="0" collapsed="false">
      <c r="G158" s="8"/>
      <c r="I158" s="8"/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7"/>
      <c r="H159" s="6"/>
      <c r="I159" s="7"/>
      <c r="J159" s="6"/>
      <c r="K159" s="6"/>
      <c r="L159" s="6"/>
      <c r="M159" s="6"/>
      <c r="N159" s="6"/>
      <c r="O159" s="6"/>
      <c r="P159" s="6"/>
    </row>
    <row r="160" customFormat="false" ht="15" hidden="false" customHeight="false" outlineLevel="0" collapsed="false">
      <c r="G160" s="8"/>
      <c r="I160" s="8"/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7"/>
      <c r="H161" s="6"/>
      <c r="I161" s="7"/>
      <c r="J161" s="6"/>
      <c r="K161" s="6"/>
      <c r="L161" s="6"/>
      <c r="M161" s="6"/>
      <c r="N161" s="6"/>
      <c r="O161" s="6"/>
      <c r="P161" s="6"/>
    </row>
    <row r="162" customFormat="false" ht="15" hidden="false" customHeight="false" outlineLevel="0" collapsed="false">
      <c r="G162" s="8"/>
      <c r="I162" s="8"/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7"/>
      <c r="H163" s="6"/>
      <c r="I163" s="7"/>
      <c r="J163" s="6"/>
      <c r="K163" s="6"/>
      <c r="L163" s="6"/>
      <c r="M163" s="6"/>
      <c r="N163" s="6"/>
      <c r="O163" s="6"/>
      <c r="P163" s="6"/>
    </row>
    <row r="164" customFormat="false" ht="15" hidden="false" customHeight="false" outlineLevel="0" collapsed="false">
      <c r="G164" s="8"/>
      <c r="I164" s="8"/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7"/>
      <c r="H165" s="6"/>
      <c r="I165" s="7"/>
      <c r="J165" s="6"/>
      <c r="K165" s="6"/>
      <c r="L165" s="6"/>
      <c r="M165" s="6"/>
      <c r="N165" s="6"/>
      <c r="O165" s="6"/>
      <c r="P165" s="6"/>
    </row>
    <row r="166" customFormat="false" ht="15" hidden="false" customHeight="false" outlineLevel="0" collapsed="false">
      <c r="G166" s="8"/>
      <c r="I166" s="8"/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7"/>
      <c r="H167" s="6"/>
      <c r="I167" s="7"/>
      <c r="J167" s="6"/>
      <c r="K167" s="6"/>
      <c r="L167" s="6"/>
      <c r="M167" s="6"/>
      <c r="N167" s="6"/>
      <c r="O167" s="6"/>
      <c r="P167" s="6"/>
    </row>
    <row r="168" customFormat="false" ht="15" hidden="false" customHeight="false" outlineLevel="0" collapsed="false">
      <c r="G168" s="8"/>
      <c r="I168" s="8"/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7"/>
      <c r="H169" s="6"/>
      <c r="I169" s="7"/>
      <c r="J169" s="6"/>
      <c r="K169" s="6"/>
      <c r="L169" s="6"/>
      <c r="M169" s="6"/>
      <c r="N169" s="6"/>
      <c r="O169" s="6"/>
      <c r="P169" s="6"/>
    </row>
    <row r="170" customFormat="false" ht="15" hidden="false" customHeight="false" outlineLevel="0" collapsed="false">
      <c r="G170" s="8"/>
      <c r="I170" s="8"/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7"/>
      <c r="H171" s="6"/>
      <c r="I171" s="7"/>
      <c r="J171" s="6"/>
      <c r="K171" s="6"/>
      <c r="L171" s="6"/>
      <c r="M171" s="6"/>
      <c r="N171" s="6"/>
      <c r="O171" s="6"/>
      <c r="P171" s="6"/>
    </row>
    <row r="172" customFormat="false" ht="15" hidden="false" customHeight="false" outlineLevel="0" collapsed="false">
      <c r="G172" s="8"/>
      <c r="I172" s="8"/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7"/>
      <c r="H173" s="6"/>
      <c r="I173" s="7"/>
      <c r="J173" s="6"/>
      <c r="K173" s="6"/>
      <c r="L173" s="6"/>
      <c r="M173" s="6"/>
      <c r="N173" s="6"/>
      <c r="O173" s="6"/>
      <c r="P173" s="6"/>
    </row>
    <row r="174" customFormat="false" ht="15" hidden="false" customHeight="false" outlineLevel="0" collapsed="false">
      <c r="G174" s="8"/>
      <c r="I174" s="8"/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7"/>
      <c r="H175" s="6"/>
      <c r="I175" s="7"/>
      <c r="J175" s="6"/>
      <c r="K175" s="6"/>
      <c r="L175" s="6"/>
      <c r="M175" s="6"/>
      <c r="N175" s="6"/>
      <c r="O175" s="6"/>
      <c r="P175" s="6"/>
    </row>
    <row r="176" customFormat="false" ht="15" hidden="false" customHeight="false" outlineLevel="0" collapsed="false">
      <c r="G176" s="8"/>
      <c r="I176" s="8"/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7"/>
      <c r="H177" s="6"/>
      <c r="I177" s="7"/>
      <c r="J177" s="6"/>
      <c r="K177" s="6"/>
      <c r="L177" s="6"/>
      <c r="M177" s="6"/>
      <c r="N177" s="6"/>
      <c r="O177" s="6"/>
      <c r="P177" s="6"/>
    </row>
    <row r="178" customFormat="false" ht="15" hidden="false" customHeight="false" outlineLevel="0" collapsed="false">
      <c r="G178" s="8"/>
      <c r="I178" s="8"/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7"/>
      <c r="H179" s="6"/>
      <c r="I179" s="7"/>
      <c r="J179" s="6"/>
      <c r="K179" s="6"/>
      <c r="L179" s="6"/>
      <c r="M179" s="6"/>
      <c r="N179" s="6"/>
      <c r="O179" s="6"/>
      <c r="P179" s="6"/>
    </row>
    <row r="180" customFormat="false" ht="15" hidden="false" customHeight="false" outlineLevel="0" collapsed="false">
      <c r="G180" s="8"/>
      <c r="I180" s="8"/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7"/>
      <c r="H181" s="6"/>
      <c r="I181" s="7"/>
      <c r="J181" s="6"/>
      <c r="K181" s="6"/>
      <c r="L181" s="6"/>
      <c r="M181" s="6"/>
      <c r="N181" s="6"/>
      <c r="O181" s="6"/>
      <c r="P181" s="6"/>
    </row>
    <row r="182" customFormat="false" ht="15" hidden="false" customHeight="false" outlineLevel="0" collapsed="false">
      <c r="G182" s="8"/>
      <c r="I182" s="8"/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7"/>
      <c r="H183" s="6"/>
      <c r="I183" s="7"/>
      <c r="J183" s="6"/>
      <c r="K183" s="6"/>
      <c r="L183" s="6"/>
      <c r="M183" s="6"/>
      <c r="N183" s="6"/>
      <c r="O183" s="6"/>
      <c r="P183" s="6"/>
    </row>
    <row r="184" customFormat="false" ht="15" hidden="false" customHeight="false" outlineLevel="0" collapsed="false">
      <c r="G184" s="8"/>
      <c r="I184" s="8"/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7"/>
      <c r="H185" s="6"/>
      <c r="I185" s="7"/>
      <c r="J185" s="6"/>
      <c r="K185" s="6"/>
      <c r="L185" s="6"/>
      <c r="M185" s="6"/>
      <c r="N185" s="6"/>
      <c r="O185" s="6"/>
      <c r="P185" s="6"/>
    </row>
    <row r="186" customFormat="false" ht="15" hidden="false" customHeight="false" outlineLevel="0" collapsed="false">
      <c r="G186" s="8"/>
      <c r="I186" s="8"/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7"/>
      <c r="H187" s="6"/>
      <c r="I187" s="7"/>
      <c r="J187" s="6"/>
      <c r="K187" s="6"/>
      <c r="L187" s="6"/>
      <c r="M187" s="6"/>
      <c r="N187" s="6"/>
      <c r="O187" s="6"/>
      <c r="P187" s="6"/>
    </row>
    <row r="188" customFormat="false" ht="15" hidden="false" customHeight="false" outlineLevel="0" collapsed="false">
      <c r="G188" s="8"/>
      <c r="I188" s="8"/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7"/>
      <c r="H189" s="6"/>
      <c r="I189" s="7"/>
      <c r="J189" s="6"/>
      <c r="K189" s="6"/>
      <c r="L189" s="6"/>
      <c r="M189" s="6"/>
      <c r="N189" s="6"/>
      <c r="O189" s="6"/>
      <c r="P189" s="6"/>
    </row>
    <row r="190" customFormat="false" ht="15" hidden="false" customHeight="false" outlineLevel="0" collapsed="false">
      <c r="G190" s="8"/>
      <c r="I190" s="8"/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7"/>
      <c r="H191" s="6"/>
      <c r="I191" s="7"/>
      <c r="J191" s="6"/>
      <c r="K191" s="6"/>
      <c r="L191" s="6"/>
      <c r="M191" s="6"/>
      <c r="N191" s="6"/>
      <c r="O191" s="6"/>
      <c r="P191" s="6"/>
    </row>
    <row r="192" customFormat="false" ht="15" hidden="false" customHeight="false" outlineLevel="0" collapsed="false">
      <c r="G192" s="8"/>
      <c r="I192" s="8"/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7"/>
      <c r="H193" s="6"/>
      <c r="I193" s="7"/>
      <c r="J193" s="6"/>
      <c r="K193" s="6"/>
      <c r="L193" s="6"/>
      <c r="M193" s="6"/>
      <c r="N193" s="6"/>
      <c r="O193" s="6"/>
      <c r="P193" s="6"/>
    </row>
    <row r="194" customFormat="false" ht="15" hidden="false" customHeight="false" outlineLevel="0" collapsed="false">
      <c r="G194" s="8"/>
      <c r="I194" s="8"/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7"/>
      <c r="H195" s="6"/>
      <c r="I195" s="7"/>
      <c r="J195" s="6"/>
      <c r="K195" s="6"/>
      <c r="L195" s="6"/>
      <c r="M195" s="6"/>
      <c r="N195" s="6"/>
      <c r="O195" s="6"/>
      <c r="P195" s="6"/>
    </row>
    <row r="196" customFormat="false" ht="15" hidden="false" customHeight="false" outlineLevel="0" collapsed="false">
      <c r="G196" s="8"/>
      <c r="I196" s="8"/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7"/>
      <c r="H197" s="6"/>
      <c r="I197" s="7"/>
      <c r="J197" s="6"/>
      <c r="K197" s="6"/>
      <c r="L197" s="6"/>
      <c r="M197" s="6"/>
      <c r="N197" s="6"/>
      <c r="O197" s="6"/>
      <c r="P197" s="6"/>
    </row>
    <row r="198" customFormat="false" ht="15" hidden="false" customHeight="false" outlineLevel="0" collapsed="false">
      <c r="G198" s="8"/>
      <c r="I198" s="8"/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7"/>
      <c r="H199" s="6"/>
      <c r="I199" s="7"/>
      <c r="J199" s="6"/>
      <c r="K199" s="6"/>
      <c r="L199" s="6"/>
      <c r="M199" s="6"/>
      <c r="N199" s="6"/>
      <c r="O199" s="6"/>
      <c r="P199" s="6"/>
    </row>
  </sheetData>
  <dataValidations count="5">
    <dataValidation allowBlank="true" errorStyle="stop" operator="between" showDropDown="false" showErrorMessage="false" showInputMessage="false" sqref="E2:E500" type="list">
      <formula1>"A,B,C,D,E"</formula1>
      <formula2>0</formula2>
    </dataValidation>
    <dataValidation allowBlank="true" errorStyle="stop" operator="between" showDropDown="false" showErrorMessage="false" showInputMessage="false" sqref="F2:F500" type="list">
      <formula1>"X DM,Email,Discord DM,GitHub issue,Other"</formula1>
      <formula2>0</formula2>
    </dataValidation>
    <dataValidation allowBlank="true" errorStyle="stop" operator="between" showDropDown="false" showErrorMessage="false" showInputMessage="false" sqref="H2:H500 J2:J500 N2:N500" type="list">
      <formula1>"Yes,No"</formula1>
      <formula2>0</formula2>
    </dataValidation>
    <dataValidation allowBlank="true" errorStyle="stop" operator="between" showDropDown="false" showErrorMessage="false" showInputMessage="false" sqref="K2:K500" type="list">
      <formula1>"Discovery,Signing,Retries,Spend limits,Accounting,Other"</formula1>
      <formula2>0</formula2>
    </dataValidation>
    <dataValidation allowBlank="true" errorStyle="stop" operator="between" showDropDown="false" showErrorMessage="false" showInputMessage="false" sqref="L2:L500" type="list">
      <formula1>"Yes,No,Unclear,Conditional"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28"/>
  </cols>
  <sheetData>
    <row r="1" customFormat="false" ht="17.35" hidden="false" customHeight="false" outlineLevel="0" collapsed="false">
      <c r="A1" s="9" t="s">
        <v>45</v>
      </c>
    </row>
    <row r="2" customFormat="false" ht="15" hidden="false" customHeight="false" outlineLevel="0" collapsed="false">
      <c r="A2" s="10" t="s">
        <v>46</v>
      </c>
    </row>
    <row r="4" customFormat="false" ht="15" hidden="false" customHeight="false" outlineLevel="0" collapsed="false">
      <c r="A4" s="11" t="s">
        <v>47</v>
      </c>
    </row>
    <row r="5" customFormat="false" ht="15" hidden="false" customHeight="false" outlineLevel="0" collapsed="false">
      <c r="A5" s="12" t="s">
        <v>48</v>
      </c>
      <c r="B5" s="13" t="n">
        <f aca="false">COUNTA(Builders!A2:A1000)</f>
        <v>3</v>
      </c>
    </row>
    <row r="6" customFormat="false" ht="15" hidden="false" customHeight="false" outlineLevel="0" collapsed="false">
      <c r="A6" s="12" t="s">
        <v>49</v>
      </c>
      <c r="B6" s="13" t="n">
        <f aca="false">COUNTIF(Builders!H2:H1000,"Yes")</f>
        <v>1</v>
      </c>
    </row>
    <row r="7" customFormat="false" ht="15" hidden="false" customHeight="false" outlineLevel="0" collapsed="false">
      <c r="A7" s="12" t="s">
        <v>50</v>
      </c>
      <c r="B7" s="13" t="n">
        <f aca="false">COUNTIF(Builders!J2:J1000,"Yes")</f>
        <v>1</v>
      </c>
    </row>
    <row r="8" customFormat="false" ht="15" hidden="false" customHeight="false" outlineLevel="0" collapsed="false">
      <c r="A8" s="12" t="s">
        <v>51</v>
      </c>
      <c r="B8" s="13" t="n">
        <f aca="false">COUNTIF(Builders!N2:N1000,"Yes")</f>
        <v>1</v>
      </c>
    </row>
    <row r="9" customFormat="false" ht="15" hidden="false" customHeight="false" outlineLevel="0" collapsed="false">
      <c r="A9" s="12" t="s">
        <v>52</v>
      </c>
      <c r="B9" s="14" t="n">
        <f aca="false">IF(B5=0,"-",B6/B5)</f>
        <v>0.333333333333333</v>
      </c>
    </row>
    <row r="10" customFormat="false" ht="15" hidden="false" customHeight="false" outlineLevel="0" collapsed="false">
      <c r="A10" s="12" t="s">
        <v>53</v>
      </c>
      <c r="B10" s="14" t="n">
        <f aca="false">IF(B5=0,"-",B7/B5)</f>
        <v>0.333333333333333</v>
      </c>
    </row>
    <row r="12" customFormat="false" ht="15" hidden="false" customHeight="false" outlineLevel="0" collapsed="false">
      <c r="A12" s="11" t="s">
        <v>54</v>
      </c>
    </row>
    <row r="13" customFormat="false" ht="15" hidden="false" customHeight="false" outlineLevel="0" collapsed="false">
      <c r="A13" s="12" t="s">
        <v>55</v>
      </c>
      <c r="B13" s="15" t="str">
        <f aca="false">IF(B5&gt;=6,"OK","Need " &amp; (6-B5))</f>
        <v>Need 3</v>
      </c>
    </row>
    <row r="14" customFormat="false" ht="15" hidden="false" customHeight="false" outlineLevel="0" collapsed="false">
      <c r="A14" s="12" t="s">
        <v>56</v>
      </c>
      <c r="B14" s="15" t="str">
        <f aca="false">IF(B7&gt;=3,"OK","Need " &amp; (3-B7))</f>
        <v>Need 2</v>
      </c>
    </row>
    <row r="15" customFormat="false" ht="15" hidden="false" customHeight="false" outlineLevel="0" collapsed="false">
      <c r="A15" s="12" t="s">
        <v>57</v>
      </c>
      <c r="B15" s="15" t="str">
        <f aca="false">IF(B8&gt;=1,"OK","Need 1")</f>
        <v>OK</v>
      </c>
    </row>
    <row r="16" customFormat="false" ht="15" hidden="false" customHeight="false" outlineLevel="0" collapsed="false">
      <c r="A16" s="11" t="s">
        <v>58</v>
      </c>
      <c r="B16" s="16" t="str">
        <f aca="false">IF(AND(B5&gt;=6,B7&gt;=3,B8&gt;=1),"PHASE 2 DONE — start Phase 3 router scaffolding","Not yet")</f>
        <v>Not yet</v>
      </c>
    </row>
    <row r="18" customFormat="false" ht="15" hidden="false" customHeight="false" outlineLevel="0" collapsed="false">
      <c r="A18" s="11" t="s">
        <v>59</v>
      </c>
      <c r="C18" s="10" t="s">
        <v>60</v>
      </c>
    </row>
    <row r="19" customFormat="false" ht="15" hidden="false" customHeight="false" outlineLevel="0" collapsed="false">
      <c r="A19" s="12" t="s">
        <v>61</v>
      </c>
      <c r="B19" s="13" t="n">
        <f aca="false">COUNTIF(Builders!K2:K1000,"Discovery")</f>
        <v>0</v>
      </c>
    </row>
    <row r="20" customFormat="false" ht="15" hidden="false" customHeight="false" outlineLevel="0" collapsed="false">
      <c r="A20" s="12" t="s">
        <v>62</v>
      </c>
      <c r="B20" s="13" t="n">
        <f aca="false">COUNTIF(Builders!K2:K1000,"Signing")</f>
        <v>0</v>
      </c>
    </row>
    <row r="21" customFormat="false" ht="15" hidden="false" customHeight="false" outlineLevel="0" collapsed="false">
      <c r="A21" s="12" t="s">
        <v>63</v>
      </c>
      <c r="B21" s="13" t="n">
        <f aca="false">COUNTIF(Builders!K2:K1000,"Retries")</f>
        <v>0</v>
      </c>
    </row>
    <row r="22" customFormat="false" ht="15" hidden="false" customHeight="false" outlineLevel="0" collapsed="false">
      <c r="A22" s="12" t="s">
        <v>41</v>
      </c>
      <c r="B22" s="13" t="n">
        <f aca="false">COUNTIF(Builders!K2:K1000,"Spend limits")</f>
        <v>1</v>
      </c>
    </row>
    <row r="23" customFormat="false" ht="15" hidden="false" customHeight="false" outlineLevel="0" collapsed="false">
      <c r="A23" s="12" t="s">
        <v>64</v>
      </c>
      <c r="B23" s="13" t="n">
        <f aca="false">COUNTIF(Builders!K2:K1000,"Accounting")</f>
        <v>0</v>
      </c>
    </row>
    <row r="24" customFormat="false" ht="15" hidden="false" customHeight="false" outlineLevel="0" collapsed="false">
      <c r="A24" s="12" t="s">
        <v>65</v>
      </c>
      <c r="B24" s="13" t="n">
        <f aca="false">COUNTIF(Builders!K2:K1000,"Other")</f>
        <v>0</v>
      </c>
    </row>
    <row r="26" customFormat="false" ht="15" hidden="false" customHeight="false" outlineLevel="0" collapsed="false">
      <c r="A26" s="11" t="s">
        <v>66</v>
      </c>
      <c r="B26" s="17" t="str">
        <f aca="false">IF(SUM(B19:B24)=0,"-",INDEX(A19:A24,MATCH(MAX(B19:B24),B19:B24,0)))</f>
        <v>Spend limits</v>
      </c>
    </row>
    <row r="29" customFormat="false" ht="15" hidden="false" customHeight="false" outlineLevel="0" collapsed="false">
      <c r="A29" s="11" t="s">
        <v>67</v>
      </c>
    </row>
    <row r="30" customFormat="false" ht="30" hidden="false" customHeight="true" outlineLevel="0" collapsed="false">
      <c r="A30" s="18" t="s">
        <v>68</v>
      </c>
      <c r="B30" s="18"/>
      <c r="C30" s="18"/>
    </row>
    <row r="31" customFormat="false" ht="30" hidden="false" customHeight="true" outlineLevel="0" collapsed="false">
      <c r="A31" s="18" t="s">
        <v>69</v>
      </c>
      <c r="B31" s="18"/>
      <c r="C31" s="18"/>
    </row>
    <row r="32" customFormat="false" ht="30" hidden="false" customHeight="true" outlineLevel="0" collapsed="false">
      <c r="A32" s="18" t="s">
        <v>70</v>
      </c>
      <c r="B32" s="18"/>
      <c r="C32" s="18"/>
    </row>
    <row r="33" customFormat="false" ht="30" hidden="false" customHeight="true" outlineLevel="0" collapsed="false">
      <c r="A33" s="18" t="s">
        <v>71</v>
      </c>
      <c r="B33" s="18"/>
      <c r="C33" s="18"/>
    </row>
    <row r="34" customFormat="false" ht="30" hidden="false" customHeight="true" outlineLevel="0" collapsed="false">
      <c r="A34" s="18" t="s">
        <v>72</v>
      </c>
      <c r="B34" s="18"/>
      <c r="C34" s="18"/>
    </row>
  </sheetData>
  <mergeCells count="5">
    <mergeCell ref="A30:C30"/>
    <mergeCell ref="A31:C31"/>
    <mergeCell ref="A32:C32"/>
    <mergeCell ref="A33:C33"/>
    <mergeCell ref="A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2026-04-29T10:52:02Z</dcterms:created>
  <dc:creator>openpyxl</dc:creator>
  <dc:description/>
  <dc:language>en-US</dc:language>
  <cp:lastModifiedBy/>
  <dcterms:modified xsi:type="dcterms:W3CDTF">2026-04-29T10:52:02Z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